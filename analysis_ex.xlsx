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D6A30A-4FAD-4148-8CC1-068CE945B8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eliveries" sheetId="1" r:id="rId1"/>
    <sheet name="routes" sheetId="2" r:id="rId2"/>
    <sheet name="Clean" sheetId="3" r:id="rId3"/>
    <sheet name="Sheet2" sheetId="6" r:id="rId4"/>
  </sheets>
  <calcPr calcId="191029" iterateDelta="1E-4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18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</calcChain>
</file>

<file path=xl/sharedStrings.xml><?xml version="1.0" encoding="utf-8"?>
<sst xmlns="http://schemas.openxmlformats.org/spreadsheetml/2006/main" count="119" uniqueCount="31">
  <si>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</si>
  <si>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</si>
  <si>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</si>
  <si>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</si>
  <si>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</si>
  <si>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</si>
  <si>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</si>
  <si>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</si>
  <si>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</si>
  <si>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</si>
  <si>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</si>
  <si>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</si>
  <si>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</si>
  <si>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</si>
  <si>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</si>
  <si>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</si>
  <si>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</si>
  <si>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</si>
  <si>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</si>
  <si>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</si>
  <si>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</si>
  <si>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</si>
  <si>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</si>
  <si>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</si>
  <si>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</si>
  <si>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month_sort</t>
  </si>
  <si>
    <t>Total Delay Days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</si>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</sst>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>
      <alignment horizontal="left"/>
    </xf>
    <xf numFmtId="0" fontId="3" fillId="0" borderId="0"/>
    <xf numFmtId="0" fontId="3" fillId="0" borderId="0"/>
    <xf numFmtId="0" fontId="1" fillId="0" borderId="0"/>
    <xf numFmtId="0" fontId="1" fillId="0" borderId="0">
      <alignment horizontal="left"/>
    </xf>
    <xf numFmtId="0" fontId="3" fillId="0" borderId="0"/>
  </cellStyleXfs>
  <cellXfs count="17">
    <xf numFmtId="0" fontId="0" fillId="0" borderId="0" xfId="0"/>
    <xf numFmtId="1" fontId="0" fillId="0" borderId="1" xfId="0" applyNumberFormat="1" applyBorder="1"/>
    <xf numFmtId="1" fontId="0" fillId="0" borderId="2" xfId="0" applyNumberFormat="1" applyBorder="1"/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0" fontId="0" fillId="0" borderId="6" xfId="0" applyBorder="1"/>
    <xf numFmtId="0" fontId="2" fillId="3" borderId="3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3" xfId="0" applyBorder="1" applyAlignment="1"/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6" xfId="0" applyNumberFormat="1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2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[analysis_ex.xlsx]Sheet2!PivotTable1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22968425243141"/>
          <c:y val="0.12855174761792382"/>
          <c:w val="0.70740935160882668"/>
          <c:h val="0.683026913565744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Sheet2!$B$5:$B$8</c:f>
              <c:numCache>
                <c:formatCode>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1-40AD-B221-63AE0405506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Sheet2!$C$5:$C$8</c:f>
              <c:numCache>
                <c:formatCode>0</c:formatCode>
                <c:ptCount val="3"/>
                <c:pt idx="0">
                  <c:v>7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71-40AD-B221-63AE04055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771871"/>
        <c:axId val="922184591"/>
      </c:barChart>
      <c:catAx>
        <c:axId val="99977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2032819971577629"/>
              <c:y val="0.87946594222803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84591"/>
        <c:crosses val="autoZero"/>
        <c:auto val="1"/>
        <c:lblAlgn val="ctr"/>
        <c:lblOffset val="100"/>
        <c:noMultiLvlLbl val="0"/>
      </c:catAx>
      <c:valAx>
        <c:axId val="9221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delay_days</a:t>
                </a:r>
              </a:p>
            </c:rich>
          </c:tx>
          <c:layout>
            <c:manualLayout>
              <c:xMode val="edge"/>
              <c:yMode val="edge"/>
              <c:x val="1.646090534979424E-2"/>
              <c:y val="0.355492184370288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7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8</xdr:row>
      <xdr:rowOff>4761</xdr:rowOff>
    </xdr:from>
    <xdr:to>
      <xdr:col>12</xdr:col>
      <xdr:colOff>19050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198CE-116D-9DC5-718E-8E18EF35E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1.571749537034" createdVersion="8" refreshedVersion="8" minRefreshableVersion="3" recordCount="12" xr:uid="{6C15E18B-E07F-4042-ADC2-B853D3FDEFDB}">
  <cacheSource type="worksheet">
    <worksheetSource name="CleanDeliveries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 count="3">
        <s v="Mumbai"/>
        <s v="Chennai"/>
        <s v="Delhi"/>
      </sharedItems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x v="0"/>
    <n v="2"/>
    <n v="2"/>
    <x v="0"/>
    <n v="0"/>
  </r>
  <r>
    <n v="2"/>
    <x v="0"/>
    <s v="R2"/>
    <x v="1"/>
    <n v="3"/>
    <n v="4"/>
    <x v="0"/>
    <n v="1"/>
  </r>
  <r>
    <n v="3"/>
    <x v="0"/>
    <s v="R3"/>
    <x v="2"/>
    <n v="5"/>
    <n v="8"/>
    <x v="1"/>
    <n v="3"/>
  </r>
  <r>
    <n v="4"/>
    <x v="0"/>
    <s v="R4"/>
    <x v="0"/>
    <n v="6"/>
    <n v="10"/>
    <x v="1"/>
    <n v="4"/>
  </r>
  <r>
    <n v="5"/>
    <x v="1"/>
    <s v="R1"/>
    <x v="1"/>
    <n v="2"/>
    <n v="5"/>
    <x v="0"/>
    <n v="3"/>
  </r>
  <r>
    <n v="6"/>
    <x v="1"/>
    <s v="R2"/>
    <x v="2"/>
    <n v="3"/>
    <n v="3"/>
    <x v="0"/>
    <n v="0"/>
  </r>
  <r>
    <n v="7"/>
    <x v="1"/>
    <s v="R3"/>
    <x v="2"/>
    <n v="5"/>
    <n v="10"/>
    <x v="1"/>
    <n v="5"/>
  </r>
  <r>
    <n v="8"/>
    <x v="1"/>
    <s v="R4"/>
    <x v="1"/>
    <n v="6"/>
    <n v="7"/>
    <x v="1"/>
    <n v="1"/>
  </r>
  <r>
    <n v="9"/>
    <x v="2"/>
    <s v="R1"/>
    <x v="2"/>
    <n v="2"/>
    <n v="8"/>
    <x v="0"/>
    <n v="6"/>
  </r>
  <r>
    <n v="10"/>
    <x v="2"/>
    <s v="R2"/>
    <x v="0"/>
    <n v="3"/>
    <n v="5"/>
    <x v="0"/>
    <n v="2"/>
  </r>
  <r>
    <n v="11"/>
    <x v="2"/>
    <s v="R3"/>
    <x v="1"/>
    <n v="5"/>
    <n v="5"/>
    <x v="1"/>
    <n v="0"/>
  </r>
  <r>
    <n v="12"/>
    <x v="2"/>
    <s v="R4"/>
    <x v="0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133A3-8EB3-4439-AAFE-8B4A92DCC28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8"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" showAll="0"/>
    <pivotField axis="axisCol" showAll="0">
      <items count="3">
        <item x="0"/>
        <item x="1"/>
        <item t="default"/>
      </items>
    </pivotField>
    <pivotField dataField="1"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delay_days" fld="7" baseField="0" baseItem="0" numFmtId="1"/>
  </dataFields>
  <chartFormats count="5"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eliveries" displayName="RawDeliveries" ref="A1:F14" totalsRowShown="0" headerRowDxfId="16">
  <autoFilter ref="A1:F14" xr:uid="{00000000-0009-0000-0100-000001000000}"/>
  <tableColumns count="6">
    <tableColumn id="1" xr3:uid="{00000000-0010-0000-0000-000001000000}" name="record_id" dataDxfId="22"/>
    <tableColumn id="2" xr3:uid="{00000000-0010-0000-0000-000002000000}" name="month" dataDxfId="21"/>
    <tableColumn id="3" xr3:uid="{00000000-0010-0000-0000-000003000000}" name="route_id" dataDxfId="20"/>
    <tableColumn id="4" xr3:uid="{00000000-0010-0000-0000-000004000000}" name="hub" dataDxfId="19"/>
    <tableColumn id="5" xr3:uid="{00000000-0010-0000-0000-000005000000}" name="promised_days" dataDxfId="18"/>
    <tableColumn id="6" xr3:uid="{00000000-0010-0000-0000-000006000000}" name="actual_days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Lookup" displayName="RouteLookup" ref="A1:C5" totalsRowShown="0" headerRowDxfId="9" headerRowBorderDxfId="14" tableBorderDxfId="15" totalsRowBorderDxfId="13">
  <autoFilter ref="A1:C5" xr:uid="{00000000-0009-0000-0100-000002000000}"/>
  <tableColumns count="3">
    <tableColumn id="1" xr3:uid="{00000000-0010-0000-0100-000001000000}" name="route_id" dataDxfId="12"/>
    <tableColumn id="2" xr3:uid="{00000000-0010-0000-0100-000002000000}" name="route" dataDxfId="11"/>
    <tableColumn id="3" xr3:uid="{00000000-0010-0000-0100-000003000000}" name="service_type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Deliveries" displayName="CleanDeliveries" ref="A1:H13" totalsRowShown="0" headerRowDxfId="0">
  <autoFilter ref="A1:H13" xr:uid="{00000000-0009-0000-0100-000003000000}"/>
  <tableColumns count="8">
    <tableColumn id="1" xr3:uid="{00000000-0010-0000-0200-000001000000}" name="record_id" dataDxfId="8"/>
    <tableColumn id="2" xr3:uid="{00000000-0010-0000-0200-000002000000}" name="month" dataDxfId="7"/>
    <tableColumn id="3" xr3:uid="{00000000-0010-0000-0200-000003000000}" name="route_id" dataDxfId="6"/>
    <tableColumn id="4" xr3:uid="{00000000-0010-0000-0200-000004000000}" name="hub" dataDxfId="5"/>
    <tableColumn id="5" xr3:uid="{00000000-0010-0000-0200-000005000000}" name="promised_days" dataDxfId="4"/>
    <tableColumn id="6" xr3:uid="{00000000-0010-0000-0200-000006000000}" name="actual_days" dataDxfId="3"/>
    <tableColumn id="7" xr3:uid="{00000000-0010-0000-0200-000007000000}" name="service_type" dataDxfId="2"/>
    <tableColumn id="8" xr3:uid="{00000000-0010-0000-0200-000008000000}" name="delay_d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tabSelected="1" zoomScaleNormal="100" workbookViewId="0">
      <pane ySplit="1" topLeftCell="A2" activePane="bottomLeft" state="frozen"/>
      <selection pane="bottomLeft" activeCell="A14" sqref="A14:F14"/>
    </sheetView>
  </sheetViews>
  <sheetFormatPr defaultColWidth="8.7109375" defaultRowHeight="15" customHeight="1" x14ac:dyDescent="0.25"/>
  <cols>
    <col min="1" max="4" width="12" style="4" customWidth="1"/>
    <col min="5" max="5" width="15" style="4" customWidth="1"/>
    <col min="6" max="6" width="13" style="4" customWidth="1"/>
    <col min="7" max="16384" width="8.7109375" style="4"/>
  </cols>
  <sheetData>
    <row r="1" spans="1:12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ht="15" customHeight="1" x14ac:dyDescent="0.25">
      <c r="A2" s="5">
        <v>1</v>
      </c>
      <c r="B2" s="4" t="s">
        <v>6</v>
      </c>
      <c r="C2" s="4" t="s">
        <v>7</v>
      </c>
      <c r="D2" s="4" t="s">
        <v>8</v>
      </c>
      <c r="E2" s="5">
        <v>2</v>
      </c>
      <c r="F2" s="5">
        <v>2</v>
      </c>
      <c r="H2" s="8"/>
      <c r="I2" s="9"/>
      <c r="J2" s="9"/>
      <c r="K2" s="9"/>
      <c r="L2" s="9"/>
    </row>
    <row r="3" spans="1:12" ht="15" customHeight="1" x14ac:dyDescent="0.25">
      <c r="A3" s="5">
        <v>2</v>
      </c>
      <c r="B3" s="4" t="s">
        <v>6</v>
      </c>
      <c r="C3" s="4" t="s">
        <v>9</v>
      </c>
      <c r="D3" s="4" t="s">
        <v>10</v>
      </c>
      <c r="E3" s="5">
        <v>3</v>
      </c>
      <c r="F3" s="5">
        <v>4</v>
      </c>
      <c r="H3" s="9"/>
      <c r="I3" s="9"/>
      <c r="J3" s="9"/>
      <c r="K3" s="9"/>
      <c r="L3" s="9"/>
    </row>
    <row r="4" spans="1:12" ht="15" customHeight="1" x14ac:dyDescent="0.25">
      <c r="A4" s="5">
        <v>3</v>
      </c>
      <c r="B4" s="4" t="s">
        <v>6</v>
      </c>
      <c r="C4" s="4" t="s">
        <v>11</v>
      </c>
      <c r="D4" s="4" t="s">
        <v>12</v>
      </c>
      <c r="E4" s="5">
        <v>5</v>
      </c>
      <c r="F4" s="5">
        <v>8</v>
      </c>
      <c r="H4" s="9"/>
      <c r="I4" s="9"/>
      <c r="J4" s="9"/>
      <c r="K4" s="9"/>
      <c r="L4" s="9"/>
    </row>
    <row r="5" spans="1:12" ht="15" customHeight="1" x14ac:dyDescent="0.25">
      <c r="A5" s="5">
        <v>4</v>
      </c>
      <c r="B5" s="4" t="s">
        <v>6</v>
      </c>
      <c r="C5" s="4" t="s">
        <v>13</v>
      </c>
      <c r="D5" s="4" t="s">
        <v>8</v>
      </c>
      <c r="E5" s="5">
        <v>6</v>
      </c>
      <c r="F5" s="5">
        <v>10</v>
      </c>
    </row>
    <row r="6" spans="1:12" ht="15" customHeight="1" x14ac:dyDescent="0.25">
      <c r="A6" s="5">
        <v>5</v>
      </c>
      <c r="B6" s="4" t="s">
        <v>14</v>
      </c>
      <c r="C6" s="4" t="s">
        <v>7</v>
      </c>
      <c r="D6" s="4" t="s">
        <v>10</v>
      </c>
      <c r="E6" s="5">
        <v>2</v>
      </c>
      <c r="F6" s="5">
        <v>5</v>
      </c>
    </row>
    <row r="7" spans="1:12" ht="15" customHeight="1" x14ac:dyDescent="0.25">
      <c r="A7" s="5">
        <v>6</v>
      </c>
      <c r="B7" s="4" t="s">
        <v>14</v>
      </c>
      <c r="C7" s="4" t="s">
        <v>9</v>
      </c>
      <c r="D7" s="4" t="s">
        <v>12</v>
      </c>
      <c r="E7" s="5">
        <v>3</v>
      </c>
      <c r="F7" s="5">
        <v>3</v>
      </c>
    </row>
    <row r="8" spans="1:12" ht="15" customHeight="1" x14ac:dyDescent="0.25">
      <c r="A8" s="5">
        <v>7</v>
      </c>
      <c r="B8" s="4" t="s">
        <v>14</v>
      </c>
      <c r="C8" s="4" t="s">
        <v>11</v>
      </c>
      <c r="D8" s="4" t="s">
        <v>12</v>
      </c>
      <c r="E8" s="5">
        <v>5</v>
      </c>
      <c r="F8" s="5">
        <v>10</v>
      </c>
    </row>
    <row r="9" spans="1:12" ht="15" customHeight="1" x14ac:dyDescent="0.25">
      <c r="A9" s="5">
        <v>8</v>
      </c>
      <c r="B9" s="4" t="s">
        <v>14</v>
      </c>
      <c r="C9" s="4" t="s">
        <v>13</v>
      </c>
      <c r="D9" s="4" t="s">
        <v>10</v>
      </c>
      <c r="E9" s="5">
        <v>6</v>
      </c>
      <c r="F9" s="5">
        <v>7</v>
      </c>
    </row>
    <row r="10" spans="1:12" ht="15" customHeight="1" x14ac:dyDescent="0.25">
      <c r="A10" s="5">
        <v>9</v>
      </c>
      <c r="B10" s="4" t="s">
        <v>15</v>
      </c>
      <c r="C10" s="4" t="s">
        <v>7</v>
      </c>
      <c r="D10" s="4" t="s">
        <v>12</v>
      </c>
      <c r="E10" s="5">
        <v>2</v>
      </c>
      <c r="F10" s="5">
        <v>8</v>
      </c>
    </row>
    <row r="11" spans="1:12" ht="15" customHeight="1" x14ac:dyDescent="0.25">
      <c r="A11" s="5">
        <v>10</v>
      </c>
      <c r="B11" s="4" t="s">
        <v>15</v>
      </c>
      <c r="C11" s="4" t="s">
        <v>9</v>
      </c>
      <c r="D11" s="4" t="s">
        <v>8</v>
      </c>
      <c r="E11" s="5">
        <v>3</v>
      </c>
      <c r="F11" s="5">
        <v>5</v>
      </c>
    </row>
    <row r="12" spans="1:12" ht="15" customHeight="1" x14ac:dyDescent="0.25">
      <c r="A12" s="5">
        <v>11</v>
      </c>
      <c r="B12" s="4" t="s">
        <v>15</v>
      </c>
      <c r="C12" s="4" t="s">
        <v>11</v>
      </c>
      <c r="D12" s="4" t="s">
        <v>10</v>
      </c>
      <c r="E12" s="5">
        <v>5</v>
      </c>
      <c r="F12" s="5">
        <v>5</v>
      </c>
    </row>
    <row r="13" spans="1:12" ht="15" customHeight="1" x14ac:dyDescent="0.25">
      <c r="A13" s="5">
        <v>12</v>
      </c>
      <c r="B13" s="4" t="s">
        <v>15</v>
      </c>
      <c r="C13" s="4" t="s">
        <v>13</v>
      </c>
      <c r="D13" s="4" t="s">
        <v>8</v>
      </c>
      <c r="E13" s="5">
        <v>6</v>
      </c>
      <c r="F13" s="5">
        <v>15</v>
      </c>
    </row>
    <row r="14" spans="1:12" ht="15" customHeight="1" x14ac:dyDescent="0.25">
      <c r="A14" s="2">
        <v>12</v>
      </c>
      <c r="B14" s="6" t="s">
        <v>15</v>
      </c>
      <c r="C14" s="6" t="s">
        <v>13</v>
      </c>
      <c r="D14" s="6" t="s">
        <v>8</v>
      </c>
      <c r="E14" s="16">
        <v>6</v>
      </c>
      <c r="F14" s="1">
        <v>15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5"/>
  <sheetViews>
    <sheetView showGridLines="0" zoomScaleNormal="100" workbookViewId="0">
      <pane ySplit="1" topLeftCell="A2" activePane="bottomLeft" state="frozen"/>
      <selection pane="bottomLeft" activeCell="E28" sqref="E28"/>
    </sheetView>
  </sheetViews>
  <sheetFormatPr defaultColWidth="8.7109375" defaultRowHeight="15" customHeight="1" x14ac:dyDescent="0.25"/>
  <cols>
    <col min="1" max="1" width="12" style="4" customWidth="1"/>
    <col min="2" max="2" width="17" style="4" customWidth="1"/>
    <col min="3" max="3" width="14" style="4" customWidth="1"/>
    <col min="4" max="16384" width="8.7109375" style="4"/>
  </cols>
  <sheetData>
    <row r="1" spans="1:3" ht="15" customHeight="1" x14ac:dyDescent="0.25">
      <c r="A1" s="3" t="s">
        <v>2</v>
      </c>
      <c r="B1" s="3" t="s">
        <v>16</v>
      </c>
      <c r="C1" s="3" t="s">
        <v>17</v>
      </c>
    </row>
    <row r="2" spans="1:3" ht="15" customHeight="1" x14ac:dyDescent="0.25">
      <c r="A2" s="4" t="s">
        <v>7</v>
      </c>
      <c r="B2" s="4" t="s">
        <v>18</v>
      </c>
      <c r="C2" s="4" t="s">
        <v>19</v>
      </c>
    </row>
    <row r="3" spans="1:3" ht="15" customHeight="1" x14ac:dyDescent="0.25">
      <c r="A3" s="4" t="s">
        <v>9</v>
      </c>
      <c r="B3" s="4" t="s">
        <v>20</v>
      </c>
      <c r="C3" s="4" t="s">
        <v>19</v>
      </c>
    </row>
    <row r="4" spans="1:3" ht="15" customHeight="1" x14ac:dyDescent="0.25">
      <c r="A4" s="4" t="s">
        <v>11</v>
      </c>
      <c r="B4" s="4" t="s">
        <v>21</v>
      </c>
      <c r="C4" s="4" t="s">
        <v>22</v>
      </c>
    </row>
    <row r="5" spans="1:3" ht="15" customHeight="1" x14ac:dyDescent="0.25">
      <c r="A5" s="4" t="s">
        <v>13</v>
      </c>
      <c r="B5" s="4" t="s">
        <v>23</v>
      </c>
      <c r="C5" s="4" t="s">
        <v>22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0"/>
  <sheetViews>
    <sheetView showGridLines="0" zoomScaleNormal="100" workbookViewId="0">
      <pane ySplit="1" topLeftCell="A2" activePane="bottomLeft" state="frozen"/>
      <selection pane="bottomLeft" activeCell="C20" sqref="C20"/>
    </sheetView>
  </sheetViews>
  <sheetFormatPr defaultColWidth="8.7109375" defaultRowHeight="15" customHeight="1" x14ac:dyDescent="0.25"/>
  <cols>
    <col min="1" max="4" width="12" style="4" customWidth="1"/>
    <col min="5" max="5" width="15" style="4" customWidth="1"/>
    <col min="6" max="6" width="13" style="4" customWidth="1"/>
    <col min="7" max="7" width="45" style="4" customWidth="1"/>
    <col min="8" max="8" width="17" style="4" customWidth="1"/>
    <col min="9" max="9" width="12" style="4" hidden="1" customWidth="1"/>
    <col min="10" max="10" width="34" style="4" customWidth="1"/>
    <col min="11" max="11" width="45" style="4" customWidth="1"/>
    <col min="12" max="14" width="12" style="4" customWidth="1"/>
    <col min="15" max="16384" width="8.7109375" style="4"/>
  </cols>
  <sheetData>
    <row r="1" spans="1:14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17</v>
      </c>
      <c r="H1" s="3" t="s">
        <v>24</v>
      </c>
      <c r="I1" s="4" t="s">
        <v>25</v>
      </c>
      <c r="J1" s="7"/>
    </row>
    <row r="2" spans="1:14" ht="15" customHeight="1" x14ac:dyDescent="0.25">
      <c r="A2" s="5">
        <v>1</v>
      </c>
      <c r="B2" s="4" t="s">
        <v>6</v>
      </c>
      <c r="C2" s="4" t="s">
        <v>7</v>
      </c>
      <c r="D2" s="4" t="s">
        <v>8</v>
      </c>
      <c r="E2" s="5">
        <v>2</v>
      </c>
      <c r="F2" s="5">
        <v>2</v>
      </c>
      <c r="G2" s="4" t="str">
        <f>INDEX(routes!$C$2:$C$5,MATCH(C2,routes!$A$2:$A$5,0))</f>
        <v>Express</v>
      </c>
      <c r="H2" s="5">
        <f t="shared" ref="H2:H13" si="0">MAX(F2-E2,0)</f>
        <v>0</v>
      </c>
      <c r="I2" s="4">
        <v>1</v>
      </c>
    </row>
    <row r="3" spans="1:14" ht="15" customHeight="1" x14ac:dyDescent="0.25">
      <c r="A3" s="5">
        <v>2</v>
      </c>
      <c r="B3" s="4" t="s">
        <v>6</v>
      </c>
      <c r="C3" s="4" t="s">
        <v>9</v>
      </c>
      <c r="D3" s="4" t="s">
        <v>10</v>
      </c>
      <c r="E3" s="5">
        <v>3</v>
      </c>
      <c r="F3" s="5">
        <v>4</v>
      </c>
      <c r="G3" s="4" t="str">
        <f>INDEX(routes!$C$2:$C$5,MATCH(C3,routes!$A$2:$A$5,0))</f>
        <v>Express</v>
      </c>
      <c r="H3" s="5">
        <f t="shared" si="0"/>
        <v>1</v>
      </c>
      <c r="I3" s="4">
        <v>1</v>
      </c>
    </row>
    <row r="4" spans="1:14" ht="15" customHeight="1" x14ac:dyDescent="0.25">
      <c r="A4" s="5">
        <v>3</v>
      </c>
      <c r="B4" s="4" t="s">
        <v>6</v>
      </c>
      <c r="C4" s="4" t="s">
        <v>11</v>
      </c>
      <c r="D4" s="4" t="s">
        <v>12</v>
      </c>
      <c r="E4" s="5">
        <v>5</v>
      </c>
      <c r="F4" s="5">
        <v>8</v>
      </c>
      <c r="G4" s="4" t="str">
        <f>INDEX(routes!$C$2:$C$5,MATCH(C4,routes!$A$2:$A$5,0))</f>
        <v>Standard</v>
      </c>
      <c r="H4" s="5">
        <f t="shared" si="0"/>
        <v>3</v>
      </c>
      <c r="I4" s="4">
        <v>1</v>
      </c>
    </row>
    <row r="5" spans="1:14" ht="15" customHeight="1" x14ac:dyDescent="0.25">
      <c r="A5" s="5">
        <v>4</v>
      </c>
      <c r="B5" s="4" t="s">
        <v>6</v>
      </c>
      <c r="C5" s="4" t="s">
        <v>13</v>
      </c>
      <c r="D5" s="4" t="s">
        <v>8</v>
      </c>
      <c r="E5" s="5">
        <v>6</v>
      </c>
      <c r="F5" s="5">
        <v>10</v>
      </c>
      <c r="G5" s="4" t="str">
        <f>INDEX(routes!$C$2:$C$5,MATCH(C5,routes!$A$2:$A$5,0))</f>
        <v>Standard</v>
      </c>
      <c r="H5" s="5">
        <f t="shared" si="0"/>
        <v>4</v>
      </c>
      <c r="I5" s="4">
        <v>1</v>
      </c>
    </row>
    <row r="6" spans="1:14" ht="15" customHeight="1" x14ac:dyDescent="0.25">
      <c r="A6" s="5">
        <v>5</v>
      </c>
      <c r="B6" s="4" t="s">
        <v>14</v>
      </c>
      <c r="C6" s="4" t="s">
        <v>7</v>
      </c>
      <c r="D6" s="4" t="s">
        <v>10</v>
      </c>
      <c r="E6" s="5">
        <v>2</v>
      </c>
      <c r="F6" s="5">
        <v>5</v>
      </c>
      <c r="G6" s="4" t="str">
        <f>INDEX(routes!$C$2:$C$5,MATCH(C6,routes!$A$2:$A$5,0))</f>
        <v>Express</v>
      </c>
      <c r="H6" s="5">
        <f t="shared" si="0"/>
        <v>3</v>
      </c>
      <c r="I6" s="4">
        <v>2</v>
      </c>
      <c r="K6" s="8"/>
      <c r="L6" s="9"/>
      <c r="M6" s="9"/>
      <c r="N6" s="9"/>
    </row>
    <row r="7" spans="1:14" ht="15" customHeight="1" x14ac:dyDescent="0.25">
      <c r="A7" s="5">
        <v>6</v>
      </c>
      <c r="B7" s="4" t="s">
        <v>14</v>
      </c>
      <c r="C7" s="4" t="s">
        <v>9</v>
      </c>
      <c r="D7" s="4" t="s">
        <v>12</v>
      </c>
      <c r="E7" s="5">
        <v>3</v>
      </c>
      <c r="F7" s="5">
        <v>3</v>
      </c>
      <c r="G7" s="4" t="str">
        <f>INDEX(routes!$C$2:$C$5,MATCH(C7,routes!$A$2:$A$5,0))</f>
        <v>Express</v>
      </c>
      <c r="H7" s="5">
        <f t="shared" si="0"/>
        <v>0</v>
      </c>
      <c r="I7" s="4">
        <v>2</v>
      </c>
      <c r="K7" s="9"/>
      <c r="L7" s="9"/>
      <c r="M7" s="9"/>
      <c r="N7" s="9"/>
    </row>
    <row r="8" spans="1:14" ht="15" customHeight="1" x14ac:dyDescent="0.25">
      <c r="A8" s="5">
        <v>7</v>
      </c>
      <c r="B8" s="4" t="s">
        <v>14</v>
      </c>
      <c r="C8" s="4" t="s">
        <v>11</v>
      </c>
      <c r="D8" s="4" t="s">
        <v>12</v>
      </c>
      <c r="E8" s="5">
        <v>5</v>
      </c>
      <c r="F8" s="5">
        <v>10</v>
      </c>
      <c r="G8" s="4" t="str">
        <f>INDEX(routes!$C$2:$C$5,MATCH(C8,routes!$A$2:$A$5,0))</f>
        <v>Standard</v>
      </c>
      <c r="H8" s="5">
        <f t="shared" si="0"/>
        <v>5</v>
      </c>
      <c r="I8" s="4">
        <v>2</v>
      </c>
    </row>
    <row r="9" spans="1:14" ht="15" customHeight="1" x14ac:dyDescent="0.25">
      <c r="A9" s="5">
        <v>8</v>
      </c>
      <c r="B9" s="4" t="s">
        <v>14</v>
      </c>
      <c r="C9" s="4" t="s">
        <v>13</v>
      </c>
      <c r="D9" s="4" t="s">
        <v>10</v>
      </c>
      <c r="E9" s="5">
        <v>6</v>
      </c>
      <c r="F9" s="5">
        <v>7</v>
      </c>
      <c r="G9" s="4" t="str">
        <f>INDEX(routes!$C$2:$C$5,MATCH(C9,routes!$A$2:$A$5,0))</f>
        <v>Standard</v>
      </c>
      <c r="H9" s="5">
        <f t="shared" si="0"/>
        <v>1</v>
      </c>
      <c r="I9" s="4">
        <v>2</v>
      </c>
    </row>
    <row r="10" spans="1:14" ht="15" customHeight="1" x14ac:dyDescent="0.25">
      <c r="A10" s="5">
        <v>9</v>
      </c>
      <c r="B10" s="4" t="s">
        <v>15</v>
      </c>
      <c r="C10" s="4" t="s">
        <v>7</v>
      </c>
      <c r="D10" s="4" t="s">
        <v>12</v>
      </c>
      <c r="E10" s="5">
        <v>2</v>
      </c>
      <c r="F10" s="5">
        <v>8</v>
      </c>
      <c r="G10" s="4" t="str">
        <f>INDEX(routes!$C$2:$C$5,MATCH(C10,routes!$A$2:$A$5,0))</f>
        <v>Express</v>
      </c>
      <c r="H10" s="5">
        <f t="shared" si="0"/>
        <v>6</v>
      </c>
      <c r="I10" s="4">
        <v>3</v>
      </c>
    </row>
    <row r="11" spans="1:14" ht="15" customHeight="1" x14ac:dyDescent="0.25">
      <c r="A11" s="5">
        <v>10</v>
      </c>
      <c r="B11" s="4" t="s">
        <v>15</v>
      </c>
      <c r="C11" s="4" t="s">
        <v>9</v>
      </c>
      <c r="D11" s="4" t="s">
        <v>8</v>
      </c>
      <c r="E11" s="5">
        <v>3</v>
      </c>
      <c r="F11" s="5">
        <v>5</v>
      </c>
      <c r="G11" s="4" t="str">
        <f>INDEX(routes!$C$2:$C$5,MATCH(C11,routes!$A$2:$A$5,0))</f>
        <v>Express</v>
      </c>
      <c r="H11" s="5">
        <f t="shared" si="0"/>
        <v>2</v>
      </c>
      <c r="I11" s="4">
        <v>3</v>
      </c>
    </row>
    <row r="12" spans="1:14" ht="15" customHeight="1" x14ac:dyDescent="0.25">
      <c r="A12" s="5">
        <v>11</v>
      </c>
      <c r="B12" s="4" t="s">
        <v>15</v>
      </c>
      <c r="C12" s="4" t="s">
        <v>11</v>
      </c>
      <c r="D12" s="4" t="s">
        <v>10</v>
      </c>
      <c r="E12" s="5">
        <v>5</v>
      </c>
      <c r="F12" s="5">
        <v>5</v>
      </c>
      <c r="G12" s="4" t="str">
        <f>INDEX(routes!$C$2:$C$5,MATCH(C12,routes!$A$2:$A$5,0))</f>
        <v>Standard</v>
      </c>
      <c r="H12" s="5">
        <f t="shared" si="0"/>
        <v>0</v>
      </c>
      <c r="I12" s="4">
        <v>3</v>
      </c>
    </row>
    <row r="13" spans="1:14" ht="15" customHeight="1" x14ac:dyDescent="0.25">
      <c r="A13" s="5">
        <v>12</v>
      </c>
      <c r="B13" s="4" t="s">
        <v>15</v>
      </c>
      <c r="C13" s="4" t="s">
        <v>13</v>
      </c>
      <c r="D13" s="4" t="s">
        <v>8</v>
      </c>
      <c r="E13" s="5">
        <v>6</v>
      </c>
      <c r="F13" s="5">
        <v>15</v>
      </c>
      <c r="G13" s="4" t="str">
        <f>INDEX(routes!$C$2:$C$5,MATCH(C13,routes!$A$2:$A$5,0))</f>
        <v>Standard</v>
      </c>
      <c r="H13" s="5">
        <f t="shared" si="0"/>
        <v>9</v>
      </c>
      <c r="I13" s="4">
        <v>3</v>
      </c>
    </row>
    <row r="17" spans="1:4" ht="15" customHeight="1" x14ac:dyDescent="0.25">
      <c r="A17" s="10" t="s">
        <v>26</v>
      </c>
      <c r="B17" s="11"/>
      <c r="C17" s="11"/>
      <c r="D17" s="12"/>
    </row>
    <row r="18" spans="1:4" ht="15" customHeight="1" x14ac:dyDescent="0.25">
      <c r="A18" s="4" t="s">
        <v>8</v>
      </c>
      <c r="B18" s="4">
        <f>SUMIFS(CleanDeliveries[[#All],[delay_days]],CleanDeliveries[[#All],[hub]],A18)</f>
        <v>15</v>
      </c>
    </row>
    <row r="19" spans="1:4" ht="15" customHeight="1" x14ac:dyDescent="0.25">
      <c r="A19" s="4" t="s">
        <v>10</v>
      </c>
      <c r="B19" s="4">
        <f>SUMIFS(CleanDeliveries[[#All],[delay_days]],CleanDeliveries[[#All],[hub]],A19)</f>
        <v>5</v>
      </c>
    </row>
    <row r="20" spans="1:4" ht="15" customHeight="1" x14ac:dyDescent="0.25">
      <c r="A20" s="4" t="s">
        <v>12</v>
      </c>
      <c r="B20" s="4">
        <f>SUMIFS(CleanDeliveries[[#All],[delay_days]],CleanDeliveries[[#All],[hub]],A20)</f>
        <v>14</v>
      </c>
    </row>
  </sheetData>
  <mergeCells count="1">
    <mergeCell ref="A17:D17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8FA0-7A7B-49A7-8D7F-C9F6C190BD8A}">
  <dimension ref="A3:D8"/>
  <sheetViews>
    <sheetView workbookViewId="0">
      <selection activeCell="K2" sqref="K2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8.85546875" bestFit="1" customWidth="1"/>
    <col min="4" max="4" width="11.28515625" bestFit="1" customWidth="1"/>
    <col min="5" max="5" width="12.5703125" bestFit="1" customWidth="1"/>
    <col min="6" max="6" width="10.7109375" bestFit="1" customWidth="1"/>
    <col min="7" max="7" width="5.7109375" bestFit="1" customWidth="1"/>
    <col min="8" max="8" width="8.42578125" bestFit="1" customWidth="1"/>
    <col min="9" max="9" width="13.85546875" bestFit="1" customWidth="1"/>
    <col min="10" max="10" width="11.28515625" bestFit="1" customWidth="1"/>
  </cols>
  <sheetData>
    <row r="3" spans="1:4" x14ac:dyDescent="0.25">
      <c r="A3" s="13" t="s">
        <v>30</v>
      </c>
      <c r="B3" s="13" t="s">
        <v>29</v>
      </c>
    </row>
    <row r="4" spans="1:4" x14ac:dyDescent="0.25">
      <c r="A4" s="13" t="s">
        <v>27</v>
      </c>
      <c r="B4" t="s">
        <v>19</v>
      </c>
      <c r="C4" t="s">
        <v>22</v>
      </c>
      <c r="D4" t="s">
        <v>28</v>
      </c>
    </row>
    <row r="5" spans="1:4" x14ac:dyDescent="0.25">
      <c r="A5" s="14" t="s">
        <v>6</v>
      </c>
      <c r="B5" s="15">
        <v>1</v>
      </c>
      <c r="C5" s="15">
        <v>7</v>
      </c>
      <c r="D5" s="15">
        <v>8</v>
      </c>
    </row>
    <row r="6" spans="1:4" x14ac:dyDescent="0.25">
      <c r="A6" s="14" t="s">
        <v>14</v>
      </c>
      <c r="B6" s="15">
        <v>3</v>
      </c>
      <c r="C6" s="15">
        <v>6</v>
      </c>
      <c r="D6" s="15">
        <v>9</v>
      </c>
    </row>
    <row r="7" spans="1:4" x14ac:dyDescent="0.25">
      <c r="A7" s="14" t="s">
        <v>15</v>
      </c>
      <c r="B7" s="15">
        <v>8</v>
      </c>
      <c r="C7" s="15">
        <v>9</v>
      </c>
      <c r="D7" s="15">
        <v>17</v>
      </c>
    </row>
    <row r="8" spans="1:4" x14ac:dyDescent="0.25">
      <c r="A8" s="14" t="s">
        <v>28</v>
      </c>
      <c r="B8" s="15">
        <v>12</v>
      </c>
      <c r="C8" s="15">
        <v>22</v>
      </c>
      <c r="D8" s="15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deliveries</vt:lpstr>
      <vt:lpstr>routes</vt:lpstr>
      <vt:lpstr>Clean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lohar</cp:lastModifiedBy>
  <cp:revision>3</cp:revision>
  <dcterms:created xsi:type="dcterms:W3CDTF">2026-09-26T05:55:06Z</dcterms:created>
  <dcterms:modified xsi:type="dcterms:W3CDTF">2026-09-26T08:29:27Z</dcterms:modified>
  <dc:language>en-US</dc:language>
</cp:coreProperties>
</file>